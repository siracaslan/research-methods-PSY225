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iracaslan/Desktop/"/>
    </mc:Choice>
  </mc:AlternateContent>
  <xr:revisionPtr revIDLastSave="0" documentId="8_{7CE549A2-3591-AB4D-A790-F87910BE3D09}" xr6:coauthVersionLast="47" xr6:coauthVersionMax="47" xr10:uidLastSave="{00000000-0000-0000-0000-000000000000}"/>
  <bookViews>
    <workbookView xWindow="3080" yWindow="2060" windowWidth="29900" windowHeight="17460" xr2:uid="{0B0091FC-0DBC-1441-A0A0-EBD75EA6856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" i="1"/>
  <c r="AU4" i="1"/>
  <c r="AU5" i="1"/>
  <c r="AU6" i="1"/>
  <c r="AU7" i="1"/>
  <c r="AU8" i="1"/>
  <c r="AU9" i="1"/>
  <c r="AU10" i="1"/>
  <c r="AU13" i="1"/>
  <c r="AU14" i="1"/>
  <c r="AU15" i="1"/>
  <c r="AU16" i="1"/>
  <c r="AU17" i="1"/>
  <c r="AU19" i="1"/>
  <c r="AU20" i="1"/>
  <c r="AU21" i="1"/>
  <c r="AU22" i="1"/>
  <c r="AU23" i="1"/>
  <c r="AU25" i="1"/>
  <c r="AU26" i="1"/>
  <c r="AU28" i="1"/>
  <c r="AU29" i="1"/>
  <c r="AU30" i="1"/>
  <c r="AU3" i="1"/>
  <c r="AH4" i="1"/>
  <c r="AH5" i="1"/>
  <c r="AH6" i="1"/>
  <c r="AH7" i="1"/>
  <c r="AH8" i="1"/>
  <c r="AH9" i="1"/>
  <c r="AH10" i="1"/>
  <c r="AH11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" i="1"/>
</calcChain>
</file>

<file path=xl/sharedStrings.xml><?xml version="1.0" encoding="utf-8"?>
<sst xmlns="http://schemas.openxmlformats.org/spreadsheetml/2006/main" count="54" uniqueCount="49">
  <si>
    <t>record_id</t>
  </si>
  <si>
    <t>correlation_project_timestamp</t>
  </si>
  <si>
    <t>Consent</t>
  </si>
  <si>
    <t>Athlete</t>
  </si>
  <si>
    <t>Int. student</t>
  </si>
  <si>
    <t>academics</t>
  </si>
  <si>
    <t>athletics</t>
  </si>
  <si>
    <t>gpa</t>
  </si>
  <si>
    <t>academics1</t>
  </si>
  <si>
    <t>academics2</t>
  </si>
  <si>
    <t>academics3</t>
  </si>
  <si>
    <t>academics4</t>
  </si>
  <si>
    <t>academics5</t>
  </si>
  <si>
    <t>Academics avg 1</t>
  </si>
  <si>
    <t>athletics1</t>
  </si>
  <si>
    <t>athletics2</t>
  </si>
  <si>
    <t>athletics3</t>
  </si>
  <si>
    <t>athletics4</t>
  </si>
  <si>
    <t>athletics5</t>
  </si>
  <si>
    <t>athletics6</t>
  </si>
  <si>
    <t>Athletics avg1</t>
  </si>
  <si>
    <t>academics_1</t>
  </si>
  <si>
    <t>academics_2</t>
  </si>
  <si>
    <t>academics_3</t>
  </si>
  <si>
    <t>academics_4</t>
  </si>
  <si>
    <t>academics_5</t>
  </si>
  <si>
    <t>academics_6</t>
  </si>
  <si>
    <t>academics_7</t>
  </si>
  <si>
    <t>academics_8</t>
  </si>
  <si>
    <t>academics_9</t>
  </si>
  <si>
    <t>academics_10</t>
  </si>
  <si>
    <t>academics_11</t>
  </si>
  <si>
    <t>academics_12</t>
  </si>
  <si>
    <t>Academics avg2</t>
  </si>
  <si>
    <t>athletics_1</t>
  </si>
  <si>
    <t>athletics_2</t>
  </si>
  <si>
    <t>athletics_3</t>
  </si>
  <si>
    <t>athletics_4</t>
  </si>
  <si>
    <t>athletics_5</t>
  </si>
  <si>
    <t>athletics_6</t>
  </si>
  <si>
    <t>athletics_7</t>
  </si>
  <si>
    <t>athletics_8</t>
  </si>
  <si>
    <t>athletics_9</t>
  </si>
  <si>
    <t>athletics_10</t>
  </si>
  <si>
    <t>athletics_11</t>
  </si>
  <si>
    <t>athletics_12</t>
  </si>
  <si>
    <t>correlation_project_complete</t>
  </si>
  <si>
    <t>[not completed]</t>
  </si>
  <si>
    <t>athletics 2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</si>
</sst>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2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1DCE1-6364-0E45-ACD8-B4A21BBC3D63}">
  <dimension ref="A1:AV32"/>
  <sheetViews>
    <sheetView tabSelected="1" topLeftCell="AE1" workbookViewId="0">
      <selection activeCell="AU27" sqref="AU27"/>
    </sheetView>
  </sheetViews>
  <sheetFormatPr baseColWidth="10" defaultRowHeight="16" x14ac:dyDescent="0.2"/>
  <cols>
    <col min="2" max="2" width="26.1640625" customWidth="1"/>
    <col min="14" max="14" width="15.83203125" customWidth="1"/>
    <col min="21" max="21" width="16.1640625" customWidth="1"/>
    <col min="22" max="22" width="13.1640625" customWidth="1"/>
    <col min="23" max="23" width="12.83203125" customWidth="1"/>
    <col min="24" max="24" width="12" customWidth="1"/>
    <col min="25" max="25" width="13.1640625" customWidth="1"/>
    <col min="26" max="26" width="12.6640625" customWidth="1"/>
    <col min="27" max="27" width="12.33203125" customWidth="1"/>
    <col min="28" max="28" width="12.5" customWidth="1"/>
    <col min="29" max="29" width="13.5" customWidth="1"/>
    <col min="30" max="30" width="13" customWidth="1"/>
    <col min="31" max="31" width="13.83203125" customWidth="1"/>
    <col min="32" max="32" width="14.33203125" customWidth="1"/>
    <col min="33" max="33" width="13.6640625" customWidth="1"/>
    <col min="34" max="34" width="15.5" customWidth="1"/>
    <col min="46" max="46" width="16" customWidth="1"/>
    <col min="47" max="47" width="26.6640625" customWidth="1"/>
    <col min="48" max="48" width="25.83203125" customWidth="1"/>
  </cols>
  <sheetData>
    <row r="1" spans="1:4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48</v>
      </c>
      <c r="AV1" s="1" t="s">
        <v>46</v>
      </c>
    </row>
    <row r="2" spans="1:48" x14ac:dyDescent="0.2">
      <c r="A2" s="1">
        <v>1</v>
      </c>
      <c r="B2" s="3" t="s">
        <v>47</v>
      </c>
      <c r="C2" s="3">
        <v>1</v>
      </c>
      <c r="D2" s="3">
        <v>1</v>
      </c>
      <c r="E2" s="3">
        <v>1</v>
      </c>
      <c r="F2" s="3">
        <v>100</v>
      </c>
      <c r="G2" s="3">
        <v>100</v>
      </c>
      <c r="H2" s="3">
        <v>3.7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3"/>
      <c r="AV2" s="3">
        <v>0</v>
      </c>
    </row>
    <row r="3" spans="1:48" x14ac:dyDescent="0.2">
      <c r="A3" s="1">
        <v>2</v>
      </c>
      <c r="B3" s="4">
        <v>45947.814803240741</v>
      </c>
      <c r="C3" s="3">
        <v>1</v>
      </c>
      <c r="D3" s="3">
        <v>1</v>
      </c>
      <c r="E3" s="3">
        <v>1</v>
      </c>
      <c r="F3" s="3">
        <v>92</v>
      </c>
      <c r="G3" s="3">
        <v>79</v>
      </c>
      <c r="H3" s="3">
        <v>3.8</v>
      </c>
      <c r="I3" s="3">
        <v>3</v>
      </c>
      <c r="J3" s="3">
        <v>4</v>
      </c>
      <c r="K3" s="3">
        <v>4</v>
      </c>
      <c r="L3" s="3">
        <v>4</v>
      </c>
      <c r="M3" s="3">
        <v>3</v>
      </c>
      <c r="N3" s="2">
        <f>AVERAGE(I3,J3,K3,L3,M3)</f>
        <v>3.6</v>
      </c>
      <c r="O3" s="3">
        <v>4</v>
      </c>
      <c r="P3" s="3">
        <v>3</v>
      </c>
      <c r="Q3" s="3">
        <v>4</v>
      </c>
      <c r="R3" s="3">
        <v>5</v>
      </c>
      <c r="S3" s="3">
        <v>4</v>
      </c>
      <c r="T3" s="3">
        <v>3</v>
      </c>
      <c r="U3" s="2">
        <f>AVERAGE(O3,P3,Q3,R3,S3,T3)</f>
        <v>3.8333333333333335</v>
      </c>
      <c r="V3" s="3">
        <v>3</v>
      </c>
      <c r="W3" s="3">
        <v>4</v>
      </c>
      <c r="X3" s="3">
        <v>4</v>
      </c>
      <c r="Y3" s="3">
        <v>3</v>
      </c>
      <c r="Z3" s="3">
        <v>2</v>
      </c>
      <c r="AA3" s="3">
        <v>1</v>
      </c>
      <c r="AB3" s="3">
        <v>4</v>
      </c>
      <c r="AC3" s="3">
        <v>3</v>
      </c>
      <c r="AD3" s="3">
        <v>2</v>
      </c>
      <c r="AE3" s="3">
        <v>3</v>
      </c>
      <c r="AF3" s="3">
        <v>2</v>
      </c>
      <c r="AG3" s="3">
        <v>3</v>
      </c>
      <c r="AH3" s="2">
        <f>AVERAGE(V3,W3,X3,Y3,Z3,AA3,AB3,AC3,AD3,AE3,AF3,AG3)</f>
        <v>2.8333333333333335</v>
      </c>
      <c r="AI3" s="3">
        <v>2</v>
      </c>
      <c r="AJ3" s="3">
        <v>2</v>
      </c>
      <c r="AK3" s="3">
        <v>3</v>
      </c>
      <c r="AL3" s="3">
        <v>3</v>
      </c>
      <c r="AM3" s="3">
        <v>2</v>
      </c>
      <c r="AN3" s="3">
        <v>2</v>
      </c>
      <c r="AO3" s="3">
        <v>2</v>
      </c>
      <c r="AP3" s="3">
        <v>2</v>
      </c>
      <c r="AQ3" s="3">
        <v>2</v>
      </c>
      <c r="AR3" s="3">
        <v>2</v>
      </c>
      <c r="AS3" s="3">
        <v>2</v>
      </c>
      <c r="AT3" s="3">
        <v>3</v>
      </c>
      <c r="AU3" s="3">
        <f>AVERAGE(AI3,AJ3,AK3,AL3,AM3,AN3,AO3,AP3,AQ3,AR3,AS3,AT3)</f>
        <v>2.25</v>
      </c>
      <c r="AV3" s="3">
        <v>2</v>
      </c>
    </row>
    <row r="4" spans="1:48" x14ac:dyDescent="0.2">
      <c r="A4" s="1">
        <v>3</v>
      </c>
      <c r="B4" s="4">
        <v>45947.826157407406</v>
      </c>
      <c r="C4" s="3">
        <v>1</v>
      </c>
      <c r="D4" s="3">
        <v>1</v>
      </c>
      <c r="E4" s="3">
        <v>1</v>
      </c>
      <c r="F4" s="3">
        <v>100</v>
      </c>
      <c r="G4" s="3">
        <v>99</v>
      </c>
      <c r="H4" s="3">
        <v>3.97</v>
      </c>
      <c r="I4" s="3">
        <v>5</v>
      </c>
      <c r="J4" s="3">
        <v>5</v>
      </c>
      <c r="K4" s="3">
        <v>4</v>
      </c>
      <c r="L4" s="3">
        <v>5</v>
      </c>
      <c r="M4" s="3">
        <v>4</v>
      </c>
      <c r="N4" s="2">
        <f t="shared" ref="N4:N30" si="0">AVERAGE(I4,J4,K4,L4,M4)</f>
        <v>4.5999999999999996</v>
      </c>
      <c r="O4" s="3">
        <v>5</v>
      </c>
      <c r="P4" s="3">
        <v>5</v>
      </c>
      <c r="Q4" s="3">
        <v>5</v>
      </c>
      <c r="R4" s="3">
        <v>5</v>
      </c>
      <c r="S4" s="3">
        <v>5</v>
      </c>
      <c r="T4" s="3">
        <v>5</v>
      </c>
      <c r="U4" s="2">
        <f t="shared" ref="U4:U30" si="1">AVERAGE(O4,P4,Q4,R4,S4,T4)</f>
        <v>5</v>
      </c>
      <c r="V4" s="3">
        <v>2</v>
      </c>
      <c r="W4" s="3">
        <v>4</v>
      </c>
      <c r="X4" s="3">
        <v>3</v>
      </c>
      <c r="Y4" s="3">
        <v>2</v>
      </c>
      <c r="Z4" s="3">
        <v>4</v>
      </c>
      <c r="AA4" s="3">
        <v>1</v>
      </c>
      <c r="AB4" s="3">
        <v>4</v>
      </c>
      <c r="AC4" s="3">
        <v>4</v>
      </c>
      <c r="AD4" s="3">
        <v>2</v>
      </c>
      <c r="AE4" s="3">
        <v>2</v>
      </c>
      <c r="AF4" s="3">
        <v>3</v>
      </c>
      <c r="AG4" s="3">
        <v>1</v>
      </c>
      <c r="AH4" s="2">
        <f t="shared" ref="AH4:AH30" si="2">AVERAGE(V4,W4,X4,Y4,Z4,AA4,AB4,AC4,AD4,AE4,AF4,AG4)</f>
        <v>2.6666666666666665</v>
      </c>
      <c r="AI4" s="3">
        <v>1</v>
      </c>
      <c r="AJ4" s="3">
        <v>4</v>
      </c>
      <c r="AK4" s="3">
        <v>4</v>
      </c>
      <c r="AL4" s="3">
        <v>2</v>
      </c>
      <c r="AM4" s="3">
        <v>4</v>
      </c>
      <c r="AN4" s="3">
        <v>1</v>
      </c>
      <c r="AO4" s="3">
        <v>4</v>
      </c>
      <c r="AP4" s="3">
        <v>4</v>
      </c>
      <c r="AQ4" s="3">
        <v>2</v>
      </c>
      <c r="AR4" s="3">
        <v>1</v>
      </c>
      <c r="AS4" s="3">
        <v>3</v>
      </c>
      <c r="AT4" s="3">
        <v>1</v>
      </c>
      <c r="AU4" s="3">
        <f t="shared" ref="AU4:AU30" si="3">AVERAGE(AI4,AJ4,AK4,AL4,AM4,AN4,AO4,AP4,AQ4,AR4,AS4,AT4)</f>
        <v>2.5833333333333335</v>
      </c>
      <c r="AV4" s="3">
        <v>2</v>
      </c>
    </row>
    <row r="5" spans="1:48" x14ac:dyDescent="0.2">
      <c r="A5" s="1">
        <v>7</v>
      </c>
      <c r="B5" s="4">
        <v>45951.865543981483</v>
      </c>
      <c r="C5" s="3">
        <v>1</v>
      </c>
      <c r="D5" s="3">
        <v>1</v>
      </c>
      <c r="E5" s="3">
        <v>1</v>
      </c>
      <c r="F5" s="3">
        <v>100</v>
      </c>
      <c r="G5" s="3">
        <v>100</v>
      </c>
      <c r="H5" s="3">
        <v>3</v>
      </c>
      <c r="I5" s="3">
        <v>5</v>
      </c>
      <c r="J5" s="3">
        <v>5</v>
      </c>
      <c r="K5" s="3">
        <v>5</v>
      </c>
      <c r="L5" s="3">
        <v>5</v>
      </c>
      <c r="M5" s="3">
        <v>5</v>
      </c>
      <c r="N5" s="2">
        <f t="shared" si="0"/>
        <v>5</v>
      </c>
      <c r="O5" s="3">
        <v>5</v>
      </c>
      <c r="P5" s="3">
        <v>5</v>
      </c>
      <c r="Q5" s="3">
        <v>5</v>
      </c>
      <c r="R5" s="3">
        <v>5</v>
      </c>
      <c r="S5" s="3">
        <v>5</v>
      </c>
      <c r="T5" s="3">
        <v>5</v>
      </c>
      <c r="U5" s="2">
        <f t="shared" si="1"/>
        <v>5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2">
        <f t="shared" si="2"/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f t="shared" si="3"/>
        <v>1</v>
      </c>
      <c r="AV5" s="3">
        <v>2</v>
      </c>
    </row>
    <row r="6" spans="1:48" x14ac:dyDescent="0.2">
      <c r="A6" s="1">
        <v>8</v>
      </c>
      <c r="B6" s="4">
        <v>45951.875821759262</v>
      </c>
      <c r="C6" s="3">
        <v>1</v>
      </c>
      <c r="D6" s="3">
        <v>1</v>
      </c>
      <c r="E6" s="3">
        <v>1</v>
      </c>
      <c r="F6" s="3">
        <v>85</v>
      </c>
      <c r="G6" s="3">
        <v>88</v>
      </c>
      <c r="H6" s="3">
        <v>3.7</v>
      </c>
      <c r="I6" s="3">
        <v>5</v>
      </c>
      <c r="J6" s="3">
        <v>5</v>
      </c>
      <c r="K6" s="3">
        <v>5</v>
      </c>
      <c r="L6" s="3">
        <v>5</v>
      </c>
      <c r="M6" s="3">
        <v>5</v>
      </c>
      <c r="N6" s="2">
        <f t="shared" si="0"/>
        <v>5</v>
      </c>
      <c r="O6" s="3">
        <v>4</v>
      </c>
      <c r="P6" s="3">
        <v>4</v>
      </c>
      <c r="Q6" s="3">
        <v>3</v>
      </c>
      <c r="R6" s="3">
        <v>5</v>
      </c>
      <c r="S6" s="3">
        <v>4</v>
      </c>
      <c r="T6" s="3">
        <v>5</v>
      </c>
      <c r="U6" s="2">
        <f t="shared" si="1"/>
        <v>4.166666666666667</v>
      </c>
      <c r="V6" s="3">
        <v>2</v>
      </c>
      <c r="W6" s="3">
        <v>4</v>
      </c>
      <c r="X6" s="3">
        <v>3</v>
      </c>
      <c r="Y6" s="3">
        <v>1</v>
      </c>
      <c r="Z6" s="3">
        <v>4</v>
      </c>
      <c r="AA6" s="3">
        <v>1</v>
      </c>
      <c r="AB6" s="3">
        <v>3</v>
      </c>
      <c r="AC6" s="3">
        <v>4</v>
      </c>
      <c r="AD6" s="3">
        <v>1</v>
      </c>
      <c r="AE6" s="3">
        <v>1</v>
      </c>
      <c r="AF6" s="3">
        <v>2</v>
      </c>
      <c r="AG6" s="3">
        <v>1</v>
      </c>
      <c r="AH6" s="2">
        <f t="shared" si="2"/>
        <v>2.25</v>
      </c>
      <c r="AI6" s="3">
        <v>1</v>
      </c>
      <c r="AJ6" s="3">
        <v>4</v>
      </c>
      <c r="AK6" s="3">
        <v>5</v>
      </c>
      <c r="AL6" s="3">
        <v>2</v>
      </c>
      <c r="AM6" s="3">
        <v>5</v>
      </c>
      <c r="AN6" s="3">
        <v>1</v>
      </c>
      <c r="AO6" s="3">
        <v>5</v>
      </c>
      <c r="AP6" s="3">
        <v>5</v>
      </c>
      <c r="AQ6" s="3">
        <v>1</v>
      </c>
      <c r="AR6" s="3">
        <v>1</v>
      </c>
      <c r="AS6" s="3">
        <v>4</v>
      </c>
      <c r="AT6" s="3">
        <v>1</v>
      </c>
      <c r="AU6" s="3">
        <f t="shared" si="3"/>
        <v>2.9166666666666665</v>
      </c>
      <c r="AV6" s="3">
        <v>2</v>
      </c>
    </row>
    <row r="7" spans="1:48" x14ac:dyDescent="0.2">
      <c r="A7" s="1">
        <v>9</v>
      </c>
      <c r="B7" s="4">
        <v>45951.871192129627</v>
      </c>
      <c r="C7" s="3">
        <v>1</v>
      </c>
      <c r="D7" s="3">
        <v>1</v>
      </c>
      <c r="E7" s="3">
        <v>0</v>
      </c>
      <c r="F7" s="3">
        <v>94</v>
      </c>
      <c r="G7" s="3">
        <v>91</v>
      </c>
      <c r="H7" s="3">
        <v>3</v>
      </c>
      <c r="I7" s="3">
        <v>5</v>
      </c>
      <c r="J7" s="3">
        <v>5</v>
      </c>
      <c r="K7" s="2"/>
      <c r="L7" s="2"/>
      <c r="M7" s="3">
        <v>5</v>
      </c>
      <c r="N7" s="2">
        <f t="shared" si="0"/>
        <v>5</v>
      </c>
      <c r="O7" s="3">
        <v>5</v>
      </c>
      <c r="P7" s="3">
        <v>5</v>
      </c>
      <c r="Q7" s="3">
        <v>5</v>
      </c>
      <c r="R7" s="3">
        <v>5</v>
      </c>
      <c r="S7" s="3">
        <v>5</v>
      </c>
      <c r="T7" s="3">
        <v>5</v>
      </c>
      <c r="U7" s="2">
        <f t="shared" si="1"/>
        <v>5</v>
      </c>
      <c r="V7" s="3">
        <v>2</v>
      </c>
      <c r="W7" s="3">
        <v>2</v>
      </c>
      <c r="X7" s="3">
        <v>2</v>
      </c>
      <c r="Y7" s="3">
        <v>2</v>
      </c>
      <c r="Z7" s="3">
        <v>2</v>
      </c>
      <c r="AA7" s="3">
        <v>1</v>
      </c>
      <c r="AB7" s="3">
        <v>2</v>
      </c>
      <c r="AC7" s="3">
        <v>2</v>
      </c>
      <c r="AD7" s="3">
        <v>2</v>
      </c>
      <c r="AE7" s="3">
        <v>3</v>
      </c>
      <c r="AF7" s="3">
        <v>2</v>
      </c>
      <c r="AG7" s="3">
        <v>2</v>
      </c>
      <c r="AH7" s="2">
        <f t="shared" si="2"/>
        <v>2</v>
      </c>
      <c r="AI7" s="3">
        <v>2</v>
      </c>
      <c r="AJ7" s="3">
        <v>2</v>
      </c>
      <c r="AK7" s="3">
        <v>2</v>
      </c>
      <c r="AL7" s="3">
        <v>2</v>
      </c>
      <c r="AM7" s="2"/>
      <c r="AN7" s="3">
        <v>1</v>
      </c>
      <c r="AO7" s="2"/>
      <c r="AP7" s="3">
        <v>2</v>
      </c>
      <c r="AQ7" s="3">
        <v>2</v>
      </c>
      <c r="AR7" s="3">
        <v>2</v>
      </c>
      <c r="AS7" s="3">
        <v>2</v>
      </c>
      <c r="AT7" s="3">
        <v>1</v>
      </c>
      <c r="AU7" s="3">
        <f t="shared" si="3"/>
        <v>1.8</v>
      </c>
      <c r="AV7" s="3">
        <v>2</v>
      </c>
    </row>
    <row r="8" spans="1:48" x14ac:dyDescent="0.2">
      <c r="A8" s="1">
        <v>10</v>
      </c>
      <c r="B8" s="4">
        <v>45951.8750462963</v>
      </c>
      <c r="C8" s="3">
        <v>1</v>
      </c>
      <c r="D8" s="3">
        <v>1</v>
      </c>
      <c r="E8" s="3">
        <v>1</v>
      </c>
      <c r="F8" s="3">
        <v>84</v>
      </c>
      <c r="G8" s="3">
        <v>89</v>
      </c>
      <c r="H8" s="3">
        <v>3.7</v>
      </c>
      <c r="I8" s="3">
        <v>4</v>
      </c>
      <c r="J8" s="3">
        <v>4</v>
      </c>
      <c r="K8" s="3">
        <v>4</v>
      </c>
      <c r="L8" s="3">
        <v>4</v>
      </c>
      <c r="M8" s="3">
        <v>3</v>
      </c>
      <c r="N8" s="2">
        <f t="shared" si="0"/>
        <v>3.8</v>
      </c>
      <c r="O8" s="3">
        <v>4</v>
      </c>
      <c r="P8" s="3">
        <v>4</v>
      </c>
      <c r="Q8" s="3">
        <v>4</v>
      </c>
      <c r="R8" s="3">
        <v>4</v>
      </c>
      <c r="S8" s="3">
        <v>4</v>
      </c>
      <c r="T8" s="3">
        <v>4</v>
      </c>
      <c r="U8" s="2">
        <f t="shared" si="1"/>
        <v>4</v>
      </c>
      <c r="V8" s="3">
        <v>2</v>
      </c>
      <c r="W8" s="3">
        <v>2</v>
      </c>
      <c r="X8" s="3">
        <v>2</v>
      </c>
      <c r="Y8" s="3">
        <v>2</v>
      </c>
      <c r="Z8" s="3">
        <v>2</v>
      </c>
      <c r="AA8" s="3">
        <v>2</v>
      </c>
      <c r="AB8" s="3">
        <v>2</v>
      </c>
      <c r="AC8" s="3">
        <v>2</v>
      </c>
      <c r="AD8" s="3">
        <v>2</v>
      </c>
      <c r="AE8" s="3">
        <v>2</v>
      </c>
      <c r="AF8" s="3">
        <v>2</v>
      </c>
      <c r="AG8" s="3">
        <v>2</v>
      </c>
      <c r="AH8" s="2">
        <f t="shared" si="2"/>
        <v>2</v>
      </c>
      <c r="AI8" s="3">
        <v>2</v>
      </c>
      <c r="AJ8" s="3">
        <v>2</v>
      </c>
      <c r="AK8" s="3">
        <v>2</v>
      </c>
      <c r="AL8" s="3">
        <v>2</v>
      </c>
      <c r="AM8" s="3">
        <v>2</v>
      </c>
      <c r="AN8" s="3">
        <v>2</v>
      </c>
      <c r="AO8" s="3">
        <v>2</v>
      </c>
      <c r="AP8" s="3">
        <v>2</v>
      </c>
      <c r="AQ8" s="3">
        <v>2</v>
      </c>
      <c r="AR8" s="3">
        <v>2</v>
      </c>
      <c r="AS8" s="3">
        <v>2</v>
      </c>
      <c r="AT8" s="3">
        <v>2</v>
      </c>
      <c r="AU8" s="3">
        <f t="shared" si="3"/>
        <v>2</v>
      </c>
      <c r="AV8" s="3">
        <v>2</v>
      </c>
    </row>
    <row r="9" spans="1:48" x14ac:dyDescent="0.2">
      <c r="A9" s="1">
        <v>11</v>
      </c>
      <c r="B9" s="4">
        <v>45951.875717592593</v>
      </c>
      <c r="C9" s="3">
        <v>1</v>
      </c>
      <c r="D9" s="3">
        <v>1</v>
      </c>
      <c r="E9" s="3">
        <v>1</v>
      </c>
      <c r="F9" s="3">
        <v>100</v>
      </c>
      <c r="G9" s="3">
        <v>100</v>
      </c>
      <c r="H9" s="3">
        <v>3</v>
      </c>
      <c r="I9" s="3">
        <v>3</v>
      </c>
      <c r="J9" s="3">
        <v>3</v>
      </c>
      <c r="K9" s="3">
        <v>3</v>
      </c>
      <c r="L9" s="3">
        <v>4</v>
      </c>
      <c r="M9" s="3">
        <v>2</v>
      </c>
      <c r="N9" s="2">
        <f t="shared" si="0"/>
        <v>3</v>
      </c>
      <c r="O9" s="3">
        <v>5</v>
      </c>
      <c r="P9" s="3">
        <v>5</v>
      </c>
      <c r="Q9" s="3">
        <v>5</v>
      </c>
      <c r="R9" s="3">
        <v>5</v>
      </c>
      <c r="S9" s="3">
        <v>5</v>
      </c>
      <c r="T9" s="3">
        <v>5</v>
      </c>
      <c r="U9" s="2">
        <f t="shared" si="1"/>
        <v>5</v>
      </c>
      <c r="V9" s="3">
        <v>2</v>
      </c>
      <c r="W9" s="3">
        <v>2</v>
      </c>
      <c r="X9" s="3">
        <v>2</v>
      </c>
      <c r="Y9" s="3">
        <v>2</v>
      </c>
      <c r="Z9" s="3">
        <v>4</v>
      </c>
      <c r="AA9" s="3">
        <v>2</v>
      </c>
      <c r="AB9" s="3">
        <v>4</v>
      </c>
      <c r="AC9" s="3">
        <v>3</v>
      </c>
      <c r="AD9" s="3">
        <v>3</v>
      </c>
      <c r="AE9" s="3">
        <v>2</v>
      </c>
      <c r="AF9" s="3">
        <v>4</v>
      </c>
      <c r="AG9" s="3">
        <v>4</v>
      </c>
      <c r="AH9" s="2">
        <f t="shared" si="2"/>
        <v>2.8333333333333335</v>
      </c>
      <c r="AI9" s="3">
        <v>3</v>
      </c>
      <c r="AJ9" s="3">
        <v>2</v>
      </c>
      <c r="AK9" s="3">
        <v>4</v>
      </c>
      <c r="AL9" s="3">
        <v>2</v>
      </c>
      <c r="AM9" s="3">
        <v>4</v>
      </c>
      <c r="AN9" s="3">
        <v>2</v>
      </c>
      <c r="AO9" s="3">
        <v>2</v>
      </c>
      <c r="AP9" s="3">
        <v>2</v>
      </c>
      <c r="AQ9" s="3">
        <v>2</v>
      </c>
      <c r="AR9" s="3">
        <v>2</v>
      </c>
      <c r="AS9" s="3">
        <v>1</v>
      </c>
      <c r="AT9" s="3">
        <v>1</v>
      </c>
      <c r="AU9" s="3">
        <f t="shared" si="3"/>
        <v>2.25</v>
      </c>
      <c r="AV9" s="3">
        <v>2</v>
      </c>
    </row>
    <row r="10" spans="1:48" x14ac:dyDescent="0.2">
      <c r="A10" s="1">
        <v>12</v>
      </c>
      <c r="B10" s="4">
        <v>45951.877013888887</v>
      </c>
      <c r="C10" s="3">
        <v>1</v>
      </c>
      <c r="D10" s="3">
        <v>1</v>
      </c>
      <c r="E10" s="3">
        <v>1</v>
      </c>
      <c r="F10" s="3">
        <v>82</v>
      </c>
      <c r="G10" s="3">
        <v>100</v>
      </c>
      <c r="H10" s="3">
        <v>3.7</v>
      </c>
      <c r="I10" s="3">
        <v>3</v>
      </c>
      <c r="J10" s="3">
        <v>4</v>
      </c>
      <c r="K10" s="3">
        <v>3</v>
      </c>
      <c r="L10" s="3">
        <v>5</v>
      </c>
      <c r="M10" s="3">
        <v>3</v>
      </c>
      <c r="N10" s="2">
        <f t="shared" si="0"/>
        <v>3.6</v>
      </c>
      <c r="O10" s="3">
        <v>4</v>
      </c>
      <c r="P10" s="3">
        <v>5</v>
      </c>
      <c r="Q10" s="3">
        <v>5</v>
      </c>
      <c r="R10" s="3">
        <v>5</v>
      </c>
      <c r="S10" s="3">
        <v>4</v>
      </c>
      <c r="T10" s="3">
        <v>4</v>
      </c>
      <c r="U10" s="2">
        <f t="shared" si="1"/>
        <v>4.5</v>
      </c>
      <c r="V10" s="3">
        <v>3</v>
      </c>
      <c r="W10" s="3">
        <v>2</v>
      </c>
      <c r="X10" s="3">
        <v>2</v>
      </c>
      <c r="Y10" s="3">
        <v>3</v>
      </c>
      <c r="Z10" s="3">
        <v>2</v>
      </c>
      <c r="AA10" s="3">
        <v>3</v>
      </c>
      <c r="AB10" s="3">
        <v>4</v>
      </c>
      <c r="AC10" s="3">
        <v>1</v>
      </c>
      <c r="AD10" s="3">
        <v>2</v>
      </c>
      <c r="AE10" s="3">
        <v>3</v>
      </c>
      <c r="AF10" s="3">
        <v>3</v>
      </c>
      <c r="AG10" s="3">
        <v>3</v>
      </c>
      <c r="AH10" s="2">
        <f t="shared" si="2"/>
        <v>2.5833333333333335</v>
      </c>
      <c r="AI10" s="3">
        <v>1</v>
      </c>
      <c r="AJ10" s="3">
        <v>4</v>
      </c>
      <c r="AK10" s="3">
        <v>5</v>
      </c>
      <c r="AL10" s="3">
        <v>3</v>
      </c>
      <c r="AM10" s="3">
        <v>4</v>
      </c>
      <c r="AN10" s="3">
        <v>1</v>
      </c>
      <c r="AO10" s="3">
        <v>2</v>
      </c>
      <c r="AP10" s="3">
        <v>4</v>
      </c>
      <c r="AQ10" s="3">
        <v>1</v>
      </c>
      <c r="AR10" s="3">
        <v>1</v>
      </c>
      <c r="AS10" s="3">
        <v>2</v>
      </c>
      <c r="AT10" s="3">
        <v>2</v>
      </c>
      <c r="AU10" s="3">
        <f t="shared" si="3"/>
        <v>2.5</v>
      </c>
      <c r="AV10" s="3">
        <v>2</v>
      </c>
    </row>
    <row r="11" spans="1:48" x14ac:dyDescent="0.2">
      <c r="A11" s="1">
        <v>13</v>
      </c>
      <c r="B11" s="3" t="s">
        <v>47</v>
      </c>
      <c r="C11" s="3">
        <v>1</v>
      </c>
      <c r="D11" s="3">
        <v>1</v>
      </c>
      <c r="E11" s="3">
        <v>0</v>
      </c>
      <c r="F11" s="3">
        <v>88</v>
      </c>
      <c r="G11" s="3">
        <v>96</v>
      </c>
      <c r="H11" s="3">
        <v>4</v>
      </c>
      <c r="I11" s="3">
        <v>5</v>
      </c>
      <c r="J11" s="3">
        <v>5</v>
      </c>
      <c r="K11" s="3">
        <v>5</v>
      </c>
      <c r="L11" s="3">
        <v>5</v>
      </c>
      <c r="M11" s="3">
        <v>5</v>
      </c>
      <c r="N11" s="2">
        <f t="shared" si="0"/>
        <v>5</v>
      </c>
      <c r="O11" s="3">
        <v>5</v>
      </c>
      <c r="P11" s="3">
        <v>5</v>
      </c>
      <c r="Q11" s="3">
        <v>5</v>
      </c>
      <c r="R11" s="3">
        <v>5</v>
      </c>
      <c r="S11" s="3">
        <v>5</v>
      </c>
      <c r="T11" s="3">
        <v>5</v>
      </c>
      <c r="U11" s="2">
        <f t="shared" si="1"/>
        <v>5</v>
      </c>
      <c r="V11" s="3">
        <v>3</v>
      </c>
      <c r="W11" s="3">
        <v>3</v>
      </c>
      <c r="X11" s="3">
        <v>3</v>
      </c>
      <c r="Y11" s="3">
        <v>3</v>
      </c>
      <c r="Z11" s="3">
        <v>3</v>
      </c>
      <c r="AA11" s="3">
        <v>3</v>
      </c>
      <c r="AB11" s="3">
        <v>3</v>
      </c>
      <c r="AC11" s="3">
        <v>3</v>
      </c>
      <c r="AD11" s="3">
        <v>3</v>
      </c>
      <c r="AE11" s="3">
        <v>3</v>
      </c>
      <c r="AF11" s="3">
        <v>3</v>
      </c>
      <c r="AG11" s="3">
        <v>3</v>
      </c>
      <c r="AH11" s="2">
        <f t="shared" si="2"/>
        <v>3</v>
      </c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3"/>
      <c r="AV11" s="3">
        <v>0</v>
      </c>
    </row>
    <row r="12" spans="1:48" x14ac:dyDescent="0.2">
      <c r="A12" s="1">
        <v>15</v>
      </c>
      <c r="B12" s="3" t="s">
        <v>47</v>
      </c>
      <c r="C12" s="3">
        <v>1</v>
      </c>
      <c r="D12" s="3">
        <v>1</v>
      </c>
      <c r="E12" s="3">
        <v>1</v>
      </c>
      <c r="F12" s="3">
        <v>79</v>
      </c>
      <c r="G12" s="3">
        <v>100</v>
      </c>
      <c r="H12" s="3">
        <v>3.4</v>
      </c>
      <c r="I12" s="3">
        <v>3</v>
      </c>
      <c r="J12" s="3">
        <v>4</v>
      </c>
      <c r="K12" s="3">
        <v>3</v>
      </c>
      <c r="L12" s="3">
        <v>4</v>
      </c>
      <c r="M12" s="3">
        <v>3</v>
      </c>
      <c r="N12" s="2">
        <f t="shared" si="0"/>
        <v>3.4</v>
      </c>
      <c r="O12" s="3">
        <v>5</v>
      </c>
      <c r="P12" s="3">
        <v>5</v>
      </c>
      <c r="Q12" s="3">
        <v>5</v>
      </c>
      <c r="R12" s="3">
        <v>4</v>
      </c>
      <c r="S12" s="3">
        <v>4</v>
      </c>
      <c r="T12" s="3">
        <v>5</v>
      </c>
      <c r="U12" s="2">
        <f t="shared" si="1"/>
        <v>4.666666666666667</v>
      </c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3"/>
      <c r="AV12" s="3">
        <v>0</v>
      </c>
    </row>
    <row r="13" spans="1:48" x14ac:dyDescent="0.2">
      <c r="A13" s="1">
        <v>16</v>
      </c>
      <c r="B13" s="4">
        <v>45951.882187499999</v>
      </c>
      <c r="C13" s="3">
        <v>1</v>
      </c>
      <c r="D13" s="3">
        <v>1</v>
      </c>
      <c r="E13" s="3">
        <v>0</v>
      </c>
      <c r="F13" s="3">
        <v>100</v>
      </c>
      <c r="G13" s="3">
        <v>100</v>
      </c>
      <c r="H13" s="3">
        <v>3.8</v>
      </c>
      <c r="I13" s="3">
        <v>5</v>
      </c>
      <c r="J13" s="3">
        <v>5</v>
      </c>
      <c r="K13" s="3">
        <v>5</v>
      </c>
      <c r="L13" s="3">
        <v>5</v>
      </c>
      <c r="M13" s="3">
        <v>5</v>
      </c>
      <c r="N13" s="2">
        <f t="shared" si="0"/>
        <v>5</v>
      </c>
      <c r="O13" s="3">
        <v>5</v>
      </c>
      <c r="P13" s="3">
        <v>5</v>
      </c>
      <c r="Q13" s="3">
        <v>5</v>
      </c>
      <c r="R13" s="3">
        <v>5</v>
      </c>
      <c r="S13" s="3">
        <v>5</v>
      </c>
      <c r="T13" s="3">
        <v>5</v>
      </c>
      <c r="U13" s="2">
        <f t="shared" si="1"/>
        <v>5</v>
      </c>
      <c r="V13" s="3">
        <v>2</v>
      </c>
      <c r="W13" s="3">
        <v>3</v>
      </c>
      <c r="X13" s="3">
        <v>2</v>
      </c>
      <c r="Y13" s="3">
        <v>3</v>
      </c>
      <c r="Z13" s="3">
        <v>3</v>
      </c>
      <c r="AA13" s="3">
        <v>3</v>
      </c>
      <c r="AB13" s="3">
        <v>3</v>
      </c>
      <c r="AC13" s="3">
        <v>3</v>
      </c>
      <c r="AD13" s="3">
        <v>1</v>
      </c>
      <c r="AE13" s="3">
        <v>3</v>
      </c>
      <c r="AF13" s="3">
        <v>3</v>
      </c>
      <c r="AG13" s="3">
        <v>2</v>
      </c>
      <c r="AH13" s="2">
        <f t="shared" si="2"/>
        <v>2.5833333333333335</v>
      </c>
      <c r="AI13" s="3">
        <v>1</v>
      </c>
      <c r="AJ13" s="3">
        <v>2</v>
      </c>
      <c r="AK13" s="3">
        <v>4</v>
      </c>
      <c r="AL13" s="3">
        <v>1</v>
      </c>
      <c r="AM13" s="3">
        <v>4</v>
      </c>
      <c r="AN13" s="3">
        <v>1</v>
      </c>
      <c r="AO13" s="3">
        <v>4</v>
      </c>
      <c r="AP13" s="3">
        <v>4</v>
      </c>
      <c r="AQ13" s="3">
        <v>1</v>
      </c>
      <c r="AR13" s="3">
        <v>1</v>
      </c>
      <c r="AS13" s="3">
        <v>4</v>
      </c>
      <c r="AT13" s="3">
        <v>1</v>
      </c>
      <c r="AU13" s="3">
        <f t="shared" si="3"/>
        <v>2.3333333333333335</v>
      </c>
      <c r="AV13" s="3">
        <v>2</v>
      </c>
    </row>
    <row r="14" spans="1:48" x14ac:dyDescent="0.2">
      <c r="A14" s="1">
        <v>18</v>
      </c>
      <c r="B14" s="4">
        <v>45951.883553240739</v>
      </c>
      <c r="C14" s="3">
        <v>1</v>
      </c>
      <c r="D14" s="3">
        <v>1</v>
      </c>
      <c r="E14" s="3">
        <v>1</v>
      </c>
      <c r="F14" s="3">
        <v>99</v>
      </c>
      <c r="G14" s="3">
        <v>100</v>
      </c>
      <c r="H14" s="3">
        <v>3.89</v>
      </c>
      <c r="I14" s="3">
        <v>4</v>
      </c>
      <c r="J14" s="3">
        <v>5</v>
      </c>
      <c r="K14" s="3">
        <v>3</v>
      </c>
      <c r="L14" s="3">
        <v>4</v>
      </c>
      <c r="M14" s="3">
        <v>3</v>
      </c>
      <c r="N14" s="2">
        <f t="shared" si="0"/>
        <v>3.8</v>
      </c>
      <c r="O14" s="3">
        <v>5</v>
      </c>
      <c r="P14" s="3">
        <v>5</v>
      </c>
      <c r="Q14" s="3">
        <v>5</v>
      </c>
      <c r="R14" s="3">
        <v>5</v>
      </c>
      <c r="S14" s="3">
        <v>4</v>
      </c>
      <c r="T14" s="3">
        <v>4</v>
      </c>
      <c r="U14" s="2">
        <f t="shared" si="1"/>
        <v>4.666666666666667</v>
      </c>
      <c r="V14" s="3">
        <v>2</v>
      </c>
      <c r="W14" s="3">
        <v>3</v>
      </c>
      <c r="X14" s="3">
        <v>4</v>
      </c>
      <c r="Y14" s="3">
        <v>2</v>
      </c>
      <c r="Z14" s="3">
        <v>4</v>
      </c>
      <c r="AA14" s="3">
        <v>1</v>
      </c>
      <c r="AB14" s="3">
        <v>4</v>
      </c>
      <c r="AC14" s="3">
        <v>4</v>
      </c>
      <c r="AD14" s="3">
        <v>1</v>
      </c>
      <c r="AE14" s="3">
        <v>2</v>
      </c>
      <c r="AF14" s="3">
        <v>3</v>
      </c>
      <c r="AG14" s="3">
        <v>2</v>
      </c>
      <c r="AH14" s="2">
        <f t="shared" si="2"/>
        <v>2.6666666666666665</v>
      </c>
      <c r="AI14" s="3">
        <v>1</v>
      </c>
      <c r="AJ14" s="3">
        <v>4</v>
      </c>
      <c r="AK14" s="3">
        <v>5</v>
      </c>
      <c r="AL14" s="3">
        <v>2</v>
      </c>
      <c r="AM14" s="3">
        <v>3</v>
      </c>
      <c r="AN14" s="3">
        <v>1</v>
      </c>
      <c r="AO14" s="3">
        <v>5</v>
      </c>
      <c r="AP14" s="3">
        <v>5</v>
      </c>
      <c r="AQ14" s="3">
        <v>1</v>
      </c>
      <c r="AR14" s="3">
        <v>1</v>
      </c>
      <c r="AS14" s="3">
        <v>5</v>
      </c>
      <c r="AT14" s="3">
        <v>2</v>
      </c>
      <c r="AU14" s="3">
        <f t="shared" si="3"/>
        <v>2.9166666666666665</v>
      </c>
      <c r="AV14" s="3">
        <v>2</v>
      </c>
    </row>
    <row r="15" spans="1:48" x14ac:dyDescent="0.2">
      <c r="A15" s="1">
        <v>19</v>
      </c>
      <c r="B15" s="4">
        <v>45951.88484953704</v>
      </c>
      <c r="C15" s="3">
        <v>1</v>
      </c>
      <c r="D15" s="3">
        <v>1</v>
      </c>
      <c r="E15" s="3">
        <v>1</v>
      </c>
      <c r="F15" s="3">
        <v>62</v>
      </c>
      <c r="G15" s="3">
        <v>100</v>
      </c>
      <c r="H15" s="3">
        <v>2.8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2">
        <f t="shared" si="0"/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2">
        <f t="shared" si="1"/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2">
        <f t="shared" si="2"/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f t="shared" si="3"/>
        <v>1</v>
      </c>
      <c r="AV15" s="3">
        <v>2</v>
      </c>
    </row>
    <row r="16" spans="1:48" x14ac:dyDescent="0.2">
      <c r="A16" s="1">
        <v>20</v>
      </c>
      <c r="B16" s="4">
        <v>45951.88858796296</v>
      </c>
      <c r="C16" s="3">
        <v>1</v>
      </c>
      <c r="D16" s="3">
        <v>1</v>
      </c>
      <c r="E16" s="3">
        <v>0</v>
      </c>
      <c r="F16" s="3">
        <v>98</v>
      </c>
      <c r="G16" s="3">
        <v>100</v>
      </c>
      <c r="H16" s="3">
        <v>3.45</v>
      </c>
      <c r="I16" s="3">
        <v>4</v>
      </c>
      <c r="J16" s="3">
        <v>4</v>
      </c>
      <c r="K16" s="3">
        <v>3</v>
      </c>
      <c r="L16" s="3">
        <v>4</v>
      </c>
      <c r="M16" s="3">
        <v>1</v>
      </c>
      <c r="N16" s="2">
        <f t="shared" si="0"/>
        <v>3.2</v>
      </c>
      <c r="O16" s="3">
        <v>5</v>
      </c>
      <c r="P16" s="3">
        <v>5</v>
      </c>
      <c r="Q16" s="3">
        <v>5</v>
      </c>
      <c r="R16" s="3">
        <v>5</v>
      </c>
      <c r="S16" s="3">
        <v>5</v>
      </c>
      <c r="T16" s="3">
        <v>5</v>
      </c>
      <c r="U16" s="2">
        <f t="shared" si="1"/>
        <v>5</v>
      </c>
      <c r="V16" s="3">
        <v>2</v>
      </c>
      <c r="W16" s="3">
        <v>3</v>
      </c>
      <c r="X16" s="3">
        <v>4</v>
      </c>
      <c r="Y16" s="3">
        <v>4</v>
      </c>
      <c r="Z16" s="3">
        <v>3</v>
      </c>
      <c r="AA16" s="3">
        <v>2</v>
      </c>
      <c r="AB16" s="3">
        <v>4</v>
      </c>
      <c r="AC16" s="3">
        <v>3</v>
      </c>
      <c r="AD16" s="3">
        <v>2</v>
      </c>
      <c r="AE16" s="3">
        <v>2</v>
      </c>
      <c r="AF16" s="3">
        <v>2</v>
      </c>
      <c r="AG16" s="3">
        <v>2</v>
      </c>
      <c r="AH16" s="2">
        <f t="shared" si="2"/>
        <v>2.75</v>
      </c>
      <c r="AI16" s="3">
        <v>1</v>
      </c>
      <c r="AJ16" s="3">
        <v>2</v>
      </c>
      <c r="AK16" s="3">
        <v>1</v>
      </c>
      <c r="AL16" s="3">
        <v>4</v>
      </c>
      <c r="AM16" s="3">
        <v>2</v>
      </c>
      <c r="AN16" s="3">
        <v>1</v>
      </c>
      <c r="AO16" s="3">
        <v>2</v>
      </c>
      <c r="AP16" s="3">
        <v>5</v>
      </c>
      <c r="AQ16" s="3">
        <v>1</v>
      </c>
      <c r="AR16" s="3">
        <v>1</v>
      </c>
      <c r="AS16" s="3">
        <v>1</v>
      </c>
      <c r="AT16" s="3">
        <v>1</v>
      </c>
      <c r="AU16" s="3">
        <f t="shared" si="3"/>
        <v>1.8333333333333333</v>
      </c>
      <c r="AV16" s="3">
        <v>2</v>
      </c>
    </row>
    <row r="17" spans="1:48" x14ac:dyDescent="0.2">
      <c r="A17" s="1">
        <v>21</v>
      </c>
      <c r="B17" s="4">
        <v>45951.888749999998</v>
      </c>
      <c r="C17" s="3">
        <v>1</v>
      </c>
      <c r="D17" s="3">
        <v>1</v>
      </c>
      <c r="E17" s="3">
        <v>1</v>
      </c>
      <c r="F17" s="3">
        <v>100</v>
      </c>
      <c r="G17" s="3">
        <v>100</v>
      </c>
      <c r="H17" s="3">
        <v>3.6</v>
      </c>
      <c r="I17" s="3">
        <v>4</v>
      </c>
      <c r="J17" s="3">
        <v>5</v>
      </c>
      <c r="K17" s="3">
        <v>4</v>
      </c>
      <c r="L17" s="3">
        <v>4</v>
      </c>
      <c r="M17" s="3">
        <v>2</v>
      </c>
      <c r="N17" s="2">
        <f t="shared" si="0"/>
        <v>3.8</v>
      </c>
      <c r="O17" s="3">
        <v>5</v>
      </c>
      <c r="P17" s="3">
        <v>5</v>
      </c>
      <c r="Q17" s="3">
        <v>5</v>
      </c>
      <c r="R17" s="3">
        <v>5</v>
      </c>
      <c r="S17" s="3">
        <v>5</v>
      </c>
      <c r="T17" s="3">
        <v>5</v>
      </c>
      <c r="U17" s="2">
        <f t="shared" si="1"/>
        <v>5</v>
      </c>
      <c r="V17" s="3">
        <v>3</v>
      </c>
      <c r="W17" s="3">
        <v>4</v>
      </c>
      <c r="X17" s="3">
        <v>5</v>
      </c>
      <c r="Y17" s="3">
        <v>4</v>
      </c>
      <c r="Z17" s="3">
        <v>4</v>
      </c>
      <c r="AA17" s="3">
        <v>1</v>
      </c>
      <c r="AB17" s="3">
        <v>5</v>
      </c>
      <c r="AC17" s="3">
        <v>3</v>
      </c>
      <c r="AD17" s="3">
        <v>1</v>
      </c>
      <c r="AE17" s="3">
        <v>2</v>
      </c>
      <c r="AF17" s="3">
        <v>5</v>
      </c>
      <c r="AG17" s="3">
        <v>3</v>
      </c>
      <c r="AH17" s="2">
        <f t="shared" si="2"/>
        <v>3.3333333333333335</v>
      </c>
      <c r="AI17" s="3">
        <v>1</v>
      </c>
      <c r="AJ17" s="3">
        <v>3</v>
      </c>
      <c r="AK17" s="3">
        <v>3</v>
      </c>
      <c r="AL17" s="3">
        <v>3</v>
      </c>
      <c r="AM17" s="3">
        <v>5</v>
      </c>
      <c r="AN17" s="3">
        <v>1</v>
      </c>
      <c r="AO17" s="3">
        <v>5</v>
      </c>
      <c r="AP17" s="3">
        <v>4</v>
      </c>
      <c r="AQ17" s="3">
        <v>1</v>
      </c>
      <c r="AR17" s="3">
        <v>1</v>
      </c>
      <c r="AS17" s="3">
        <v>5</v>
      </c>
      <c r="AT17" s="3">
        <v>3</v>
      </c>
      <c r="AU17" s="3">
        <f t="shared" si="3"/>
        <v>2.9166666666666665</v>
      </c>
      <c r="AV17" s="3">
        <v>2</v>
      </c>
    </row>
    <row r="18" spans="1:48" x14ac:dyDescent="0.2">
      <c r="A18" s="1">
        <v>23</v>
      </c>
      <c r="B18" s="3" t="s">
        <v>47</v>
      </c>
      <c r="C18" s="3">
        <v>1</v>
      </c>
      <c r="D18" s="3">
        <v>1</v>
      </c>
      <c r="E18" s="3">
        <v>0</v>
      </c>
      <c r="F18" s="3">
        <v>99</v>
      </c>
      <c r="G18" s="3">
        <v>74</v>
      </c>
      <c r="H18" s="3">
        <v>3.8</v>
      </c>
      <c r="I18" s="3">
        <v>5</v>
      </c>
      <c r="J18" s="3">
        <v>5</v>
      </c>
      <c r="K18" s="3">
        <v>4</v>
      </c>
      <c r="L18" s="3">
        <v>5</v>
      </c>
      <c r="M18" s="3">
        <v>5</v>
      </c>
      <c r="N18" s="2">
        <f t="shared" si="0"/>
        <v>4.8</v>
      </c>
      <c r="O18" s="3">
        <v>4</v>
      </c>
      <c r="P18" s="3">
        <v>3</v>
      </c>
      <c r="Q18" s="3">
        <v>4</v>
      </c>
      <c r="R18" s="3">
        <v>4</v>
      </c>
      <c r="S18" s="3">
        <v>2</v>
      </c>
      <c r="T18" s="3">
        <v>2</v>
      </c>
      <c r="U18" s="2">
        <f t="shared" si="1"/>
        <v>3.1666666666666665</v>
      </c>
      <c r="V18" s="3">
        <v>2</v>
      </c>
      <c r="W18" s="3">
        <v>2</v>
      </c>
      <c r="X18" s="3">
        <v>2</v>
      </c>
      <c r="Y18" s="3">
        <v>4</v>
      </c>
      <c r="Z18" s="3">
        <v>4</v>
      </c>
      <c r="AA18" s="3">
        <v>1</v>
      </c>
      <c r="AB18" s="3">
        <v>4</v>
      </c>
      <c r="AC18" s="3">
        <v>4</v>
      </c>
      <c r="AD18" s="3">
        <v>1</v>
      </c>
      <c r="AE18" s="3">
        <v>1</v>
      </c>
      <c r="AF18" s="3">
        <v>2</v>
      </c>
      <c r="AG18" s="3">
        <v>1</v>
      </c>
      <c r="AH18" s="2">
        <f t="shared" si="2"/>
        <v>2.3333333333333335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3"/>
      <c r="AV18" s="3">
        <v>0</v>
      </c>
    </row>
    <row r="19" spans="1:48" x14ac:dyDescent="0.2">
      <c r="A19" s="1">
        <v>24</v>
      </c>
      <c r="B19" s="4">
        <v>45951.916817129626</v>
      </c>
      <c r="C19" s="3">
        <v>1</v>
      </c>
      <c r="D19" s="3">
        <v>1</v>
      </c>
      <c r="E19" s="3">
        <v>1</v>
      </c>
      <c r="F19" s="3">
        <v>99</v>
      </c>
      <c r="G19" s="3">
        <v>99</v>
      </c>
      <c r="H19" s="3">
        <v>3.2</v>
      </c>
      <c r="I19" s="3">
        <v>5</v>
      </c>
      <c r="J19" s="3">
        <v>4</v>
      </c>
      <c r="K19" s="3">
        <v>4</v>
      </c>
      <c r="L19" s="3">
        <v>5</v>
      </c>
      <c r="M19" s="3">
        <v>5</v>
      </c>
      <c r="N19" s="2">
        <f t="shared" si="0"/>
        <v>4.5999999999999996</v>
      </c>
      <c r="O19" s="3">
        <v>4</v>
      </c>
      <c r="P19" s="3">
        <v>4</v>
      </c>
      <c r="Q19" s="3">
        <v>5</v>
      </c>
      <c r="R19" s="3">
        <v>5</v>
      </c>
      <c r="S19" s="3">
        <v>4</v>
      </c>
      <c r="T19" s="3">
        <v>5</v>
      </c>
      <c r="U19" s="2">
        <f t="shared" si="1"/>
        <v>4.5</v>
      </c>
      <c r="V19" s="3">
        <v>1</v>
      </c>
      <c r="W19" s="3">
        <v>2</v>
      </c>
      <c r="X19" s="3">
        <v>1</v>
      </c>
      <c r="Y19" s="3">
        <v>2</v>
      </c>
      <c r="Z19" s="3">
        <v>1</v>
      </c>
      <c r="AA19" s="3">
        <v>2</v>
      </c>
      <c r="AB19" s="3">
        <v>1</v>
      </c>
      <c r="AC19" s="3">
        <v>2</v>
      </c>
      <c r="AD19" s="3">
        <v>1</v>
      </c>
      <c r="AE19" s="3">
        <v>2</v>
      </c>
      <c r="AF19" s="3">
        <v>1</v>
      </c>
      <c r="AG19" s="3">
        <v>1</v>
      </c>
      <c r="AH19" s="2">
        <f t="shared" si="2"/>
        <v>1.4166666666666667</v>
      </c>
      <c r="AI19" s="3">
        <v>1</v>
      </c>
      <c r="AJ19" s="3">
        <v>2</v>
      </c>
      <c r="AK19" s="3">
        <v>1</v>
      </c>
      <c r="AL19" s="3">
        <v>2</v>
      </c>
      <c r="AM19" s="3">
        <v>1</v>
      </c>
      <c r="AN19" s="3">
        <v>2</v>
      </c>
      <c r="AO19" s="3">
        <v>1</v>
      </c>
      <c r="AP19" s="3">
        <v>1</v>
      </c>
      <c r="AQ19" s="3">
        <v>1</v>
      </c>
      <c r="AR19" s="3">
        <v>1</v>
      </c>
      <c r="AS19" s="3">
        <v>1</v>
      </c>
      <c r="AT19" s="3">
        <v>1</v>
      </c>
      <c r="AU19" s="3">
        <f t="shared" si="3"/>
        <v>1.25</v>
      </c>
      <c r="AV19" s="3">
        <v>2</v>
      </c>
    </row>
    <row r="20" spans="1:48" x14ac:dyDescent="0.2">
      <c r="A20" s="1">
        <v>25</v>
      </c>
      <c r="B20" s="4">
        <v>45951.925069444442</v>
      </c>
      <c r="C20" s="3">
        <v>1</v>
      </c>
      <c r="D20" s="3">
        <v>1</v>
      </c>
      <c r="E20" s="3">
        <v>1</v>
      </c>
      <c r="F20" s="3">
        <v>100</v>
      </c>
      <c r="G20" s="3">
        <v>100</v>
      </c>
      <c r="H20" s="3">
        <v>3.2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2">
        <f t="shared" si="0"/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2">
        <f t="shared" si="1"/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2">
        <f t="shared" si="2"/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  <c r="AN20" s="3">
        <v>1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 s="3">
        <v>1</v>
      </c>
      <c r="AU20" s="3">
        <f t="shared" si="3"/>
        <v>1</v>
      </c>
      <c r="AV20" s="3">
        <v>2</v>
      </c>
    </row>
    <row r="21" spans="1:48" x14ac:dyDescent="0.2">
      <c r="A21" s="1">
        <v>27</v>
      </c>
      <c r="B21" s="4">
        <v>45951.974108796298</v>
      </c>
      <c r="C21" s="3">
        <v>1</v>
      </c>
      <c r="D21" s="3">
        <v>1</v>
      </c>
      <c r="E21" s="3">
        <v>1</v>
      </c>
      <c r="F21" s="3">
        <v>2</v>
      </c>
      <c r="G21" s="3">
        <v>100</v>
      </c>
      <c r="H21" s="3">
        <v>3</v>
      </c>
      <c r="I21" s="3">
        <v>1</v>
      </c>
      <c r="J21" s="3">
        <v>1</v>
      </c>
      <c r="K21" s="3">
        <v>4</v>
      </c>
      <c r="L21" s="3">
        <v>2</v>
      </c>
      <c r="M21" s="3">
        <v>1</v>
      </c>
      <c r="N21" s="2">
        <f t="shared" si="0"/>
        <v>1.8</v>
      </c>
      <c r="O21" s="3">
        <v>5</v>
      </c>
      <c r="P21" s="3">
        <v>5</v>
      </c>
      <c r="Q21" s="3">
        <v>5</v>
      </c>
      <c r="R21" s="3">
        <v>5</v>
      </c>
      <c r="S21" s="3">
        <v>5</v>
      </c>
      <c r="T21" s="3">
        <v>5</v>
      </c>
      <c r="U21" s="2">
        <f t="shared" si="1"/>
        <v>5</v>
      </c>
      <c r="V21" s="3">
        <v>3</v>
      </c>
      <c r="W21" s="3">
        <v>3</v>
      </c>
      <c r="X21" s="3">
        <v>2</v>
      </c>
      <c r="Y21" s="3">
        <v>2</v>
      </c>
      <c r="Z21" s="3">
        <v>2</v>
      </c>
      <c r="AA21" s="3">
        <v>4</v>
      </c>
      <c r="AB21" s="3">
        <v>2</v>
      </c>
      <c r="AC21" s="3">
        <v>4</v>
      </c>
      <c r="AD21" s="3">
        <v>2</v>
      </c>
      <c r="AE21" s="3">
        <v>3</v>
      </c>
      <c r="AF21" s="3">
        <v>3</v>
      </c>
      <c r="AG21" s="3">
        <v>4</v>
      </c>
      <c r="AH21" s="2">
        <f t="shared" si="2"/>
        <v>2.8333333333333335</v>
      </c>
      <c r="AI21" s="3">
        <v>1</v>
      </c>
      <c r="AJ21" s="3">
        <v>2</v>
      </c>
      <c r="AK21" s="3">
        <v>4</v>
      </c>
      <c r="AL21" s="3">
        <v>5</v>
      </c>
      <c r="AM21" s="3">
        <v>2</v>
      </c>
      <c r="AN21" s="3">
        <v>1</v>
      </c>
      <c r="AO21" s="3">
        <v>5</v>
      </c>
      <c r="AP21" s="3">
        <v>4</v>
      </c>
      <c r="AQ21" s="3">
        <v>2</v>
      </c>
      <c r="AR21" s="3">
        <v>2</v>
      </c>
      <c r="AS21" s="3">
        <v>2</v>
      </c>
      <c r="AT21" s="3">
        <v>2</v>
      </c>
      <c r="AU21" s="3">
        <f t="shared" si="3"/>
        <v>2.6666666666666665</v>
      </c>
      <c r="AV21" s="3">
        <v>2</v>
      </c>
    </row>
    <row r="22" spans="1:48" x14ac:dyDescent="0.2">
      <c r="A22" s="1">
        <v>28</v>
      </c>
      <c r="B22" s="4">
        <v>45951.973009259258</v>
      </c>
      <c r="C22" s="3">
        <v>1</v>
      </c>
      <c r="D22" s="3">
        <v>1</v>
      </c>
      <c r="E22" s="3">
        <v>1</v>
      </c>
      <c r="F22" s="3">
        <v>74</v>
      </c>
      <c r="G22" s="3">
        <v>100</v>
      </c>
      <c r="H22" s="3">
        <v>3.5</v>
      </c>
      <c r="I22" s="3">
        <v>4</v>
      </c>
      <c r="J22" s="3">
        <v>4</v>
      </c>
      <c r="K22" s="3">
        <v>4</v>
      </c>
      <c r="L22" s="3">
        <v>4</v>
      </c>
      <c r="M22" s="3">
        <v>4</v>
      </c>
      <c r="N22" s="2">
        <f t="shared" si="0"/>
        <v>4</v>
      </c>
      <c r="O22" s="3">
        <v>5</v>
      </c>
      <c r="P22" s="3">
        <v>5</v>
      </c>
      <c r="Q22" s="3">
        <v>5</v>
      </c>
      <c r="R22" s="3">
        <v>5</v>
      </c>
      <c r="S22" s="3">
        <v>5</v>
      </c>
      <c r="T22" s="3">
        <v>5</v>
      </c>
      <c r="U22" s="2">
        <f t="shared" si="1"/>
        <v>5</v>
      </c>
      <c r="V22" s="3">
        <v>2</v>
      </c>
      <c r="W22" s="3">
        <v>2</v>
      </c>
      <c r="X22" s="3">
        <v>3</v>
      </c>
      <c r="Y22" s="3">
        <v>2</v>
      </c>
      <c r="Z22" s="3">
        <v>4</v>
      </c>
      <c r="AA22" s="3">
        <v>3</v>
      </c>
      <c r="AB22" s="3">
        <v>4</v>
      </c>
      <c r="AC22" s="3">
        <v>2</v>
      </c>
      <c r="AD22" s="3">
        <v>2</v>
      </c>
      <c r="AE22" s="3">
        <v>4</v>
      </c>
      <c r="AF22" s="3">
        <v>3</v>
      </c>
      <c r="AG22" s="3">
        <v>3</v>
      </c>
      <c r="AH22" s="2">
        <f t="shared" si="2"/>
        <v>2.8333333333333335</v>
      </c>
      <c r="AI22" s="3">
        <v>1</v>
      </c>
      <c r="AJ22" s="3">
        <v>4</v>
      </c>
      <c r="AK22" s="3">
        <v>4</v>
      </c>
      <c r="AL22" s="3">
        <v>1</v>
      </c>
      <c r="AM22" s="3">
        <v>4</v>
      </c>
      <c r="AN22" s="3">
        <v>1</v>
      </c>
      <c r="AO22" s="3">
        <v>3</v>
      </c>
      <c r="AP22" s="3">
        <v>5</v>
      </c>
      <c r="AQ22" s="3">
        <v>2</v>
      </c>
      <c r="AR22" s="3">
        <v>1</v>
      </c>
      <c r="AS22" s="3">
        <v>2</v>
      </c>
      <c r="AT22" s="3">
        <v>1</v>
      </c>
      <c r="AU22" s="3">
        <f t="shared" si="3"/>
        <v>2.4166666666666665</v>
      </c>
      <c r="AV22" s="3">
        <v>2</v>
      </c>
    </row>
    <row r="23" spans="1:48" x14ac:dyDescent="0.2">
      <c r="A23" s="1">
        <v>29</v>
      </c>
      <c r="B23" s="4">
        <v>45952.365972222222</v>
      </c>
      <c r="C23" s="3">
        <v>1</v>
      </c>
      <c r="D23" s="3">
        <v>1</v>
      </c>
      <c r="E23" s="3">
        <v>0</v>
      </c>
      <c r="F23" s="3">
        <v>61</v>
      </c>
      <c r="G23" s="3">
        <v>100</v>
      </c>
      <c r="H23" s="3">
        <v>3</v>
      </c>
      <c r="I23" s="3">
        <v>5</v>
      </c>
      <c r="J23" s="3">
        <v>5</v>
      </c>
      <c r="K23" s="3">
        <v>5</v>
      </c>
      <c r="L23" s="3">
        <v>5</v>
      </c>
      <c r="M23" s="3">
        <v>5</v>
      </c>
      <c r="N23" s="2">
        <f t="shared" si="0"/>
        <v>5</v>
      </c>
      <c r="O23" s="3">
        <v>5</v>
      </c>
      <c r="P23" s="3">
        <v>5</v>
      </c>
      <c r="Q23" s="3">
        <v>4</v>
      </c>
      <c r="R23" s="3">
        <v>4</v>
      </c>
      <c r="S23" s="3">
        <v>4</v>
      </c>
      <c r="T23" s="3">
        <v>3</v>
      </c>
      <c r="U23" s="2">
        <f t="shared" si="1"/>
        <v>4.166666666666667</v>
      </c>
      <c r="V23" s="3">
        <v>2</v>
      </c>
      <c r="W23" s="3">
        <v>2</v>
      </c>
      <c r="X23" s="3">
        <v>2</v>
      </c>
      <c r="Y23" s="3">
        <v>2</v>
      </c>
      <c r="Z23" s="3">
        <v>2</v>
      </c>
      <c r="AA23" s="3">
        <v>2</v>
      </c>
      <c r="AB23" s="3">
        <v>3</v>
      </c>
      <c r="AC23" s="3">
        <v>3</v>
      </c>
      <c r="AD23" s="3">
        <v>2</v>
      </c>
      <c r="AE23" s="3">
        <v>3</v>
      </c>
      <c r="AF23" s="3">
        <v>3</v>
      </c>
      <c r="AG23" s="3">
        <v>3</v>
      </c>
      <c r="AH23" s="2">
        <f t="shared" si="2"/>
        <v>2.4166666666666665</v>
      </c>
      <c r="AI23" s="3">
        <v>2</v>
      </c>
      <c r="AJ23" s="3">
        <v>2</v>
      </c>
      <c r="AK23" s="3">
        <v>3</v>
      </c>
      <c r="AL23" s="3">
        <v>3</v>
      </c>
      <c r="AM23" s="3">
        <v>3</v>
      </c>
      <c r="AN23" s="3">
        <v>1</v>
      </c>
      <c r="AO23" s="3">
        <v>4</v>
      </c>
      <c r="AP23" s="3">
        <v>4</v>
      </c>
      <c r="AQ23" s="3">
        <v>2</v>
      </c>
      <c r="AR23" s="3">
        <v>2</v>
      </c>
      <c r="AS23" s="3">
        <v>4</v>
      </c>
      <c r="AT23" s="3">
        <v>2</v>
      </c>
      <c r="AU23" s="3">
        <f t="shared" si="3"/>
        <v>2.6666666666666665</v>
      </c>
      <c r="AV23" s="3">
        <v>2</v>
      </c>
    </row>
    <row r="24" spans="1:48" x14ac:dyDescent="0.2">
      <c r="A24" s="1">
        <v>30</v>
      </c>
      <c r="B24" s="3" t="s">
        <v>47</v>
      </c>
      <c r="C24" s="3">
        <v>1</v>
      </c>
      <c r="D24" s="3">
        <v>1</v>
      </c>
      <c r="E24" s="3">
        <v>0</v>
      </c>
      <c r="F24" s="3">
        <v>79</v>
      </c>
      <c r="G24" s="3">
        <v>86</v>
      </c>
      <c r="H24" s="3">
        <v>3.3</v>
      </c>
      <c r="I24" s="3">
        <v>4</v>
      </c>
      <c r="J24" s="3">
        <v>4</v>
      </c>
      <c r="K24" s="3">
        <v>3</v>
      </c>
      <c r="L24" s="3">
        <v>4</v>
      </c>
      <c r="M24" s="3">
        <v>3</v>
      </c>
      <c r="N24" s="2">
        <f t="shared" si="0"/>
        <v>3.6</v>
      </c>
      <c r="O24" s="3">
        <v>4</v>
      </c>
      <c r="P24" s="3">
        <v>3</v>
      </c>
      <c r="Q24" s="3">
        <v>2</v>
      </c>
      <c r="R24" s="3">
        <v>4</v>
      </c>
      <c r="S24" s="3">
        <v>2</v>
      </c>
      <c r="T24" s="3">
        <v>2</v>
      </c>
      <c r="U24" s="2">
        <f t="shared" si="1"/>
        <v>2.8333333333333335</v>
      </c>
      <c r="V24" s="3">
        <v>2</v>
      </c>
      <c r="W24" s="3">
        <v>2</v>
      </c>
      <c r="X24" s="3">
        <v>2</v>
      </c>
      <c r="Y24" s="3">
        <v>4</v>
      </c>
      <c r="Z24" s="3">
        <v>3</v>
      </c>
      <c r="AA24" s="3">
        <v>3</v>
      </c>
      <c r="AB24" s="3">
        <v>2</v>
      </c>
      <c r="AC24" s="3">
        <v>2</v>
      </c>
      <c r="AD24" s="3">
        <v>2</v>
      </c>
      <c r="AE24" s="3">
        <v>1</v>
      </c>
      <c r="AF24" s="3">
        <v>2</v>
      </c>
      <c r="AG24" s="3">
        <v>3</v>
      </c>
      <c r="AH24" s="2">
        <f t="shared" si="2"/>
        <v>2.3333333333333335</v>
      </c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3"/>
      <c r="AV24" s="3">
        <v>0</v>
      </c>
    </row>
    <row r="25" spans="1:48" x14ac:dyDescent="0.2">
      <c r="A25" s="1">
        <v>31</v>
      </c>
      <c r="B25" s="4">
        <v>45952.368668981479</v>
      </c>
      <c r="C25" s="3">
        <v>1</v>
      </c>
      <c r="D25" s="3">
        <v>1</v>
      </c>
      <c r="E25" s="3">
        <v>0</v>
      </c>
      <c r="F25" s="3">
        <v>77</v>
      </c>
      <c r="G25" s="3">
        <v>77</v>
      </c>
      <c r="H25" s="3">
        <v>3.4</v>
      </c>
      <c r="I25" s="3">
        <v>3</v>
      </c>
      <c r="J25" s="3">
        <v>4</v>
      </c>
      <c r="K25" s="3">
        <v>3</v>
      </c>
      <c r="L25" s="3">
        <v>4</v>
      </c>
      <c r="M25" s="3">
        <v>3</v>
      </c>
      <c r="N25" s="2">
        <f t="shared" si="0"/>
        <v>3.4</v>
      </c>
      <c r="O25" s="3">
        <v>4</v>
      </c>
      <c r="P25" s="3">
        <v>4</v>
      </c>
      <c r="Q25" s="3">
        <v>3</v>
      </c>
      <c r="R25" s="3">
        <v>4</v>
      </c>
      <c r="S25" s="3">
        <v>4</v>
      </c>
      <c r="T25" s="3">
        <v>3</v>
      </c>
      <c r="U25" s="2">
        <f t="shared" si="1"/>
        <v>3.6666666666666665</v>
      </c>
      <c r="V25" s="3">
        <v>3</v>
      </c>
      <c r="W25" s="3">
        <v>3</v>
      </c>
      <c r="X25" s="3">
        <v>4</v>
      </c>
      <c r="Y25" s="3">
        <v>2</v>
      </c>
      <c r="Z25" s="3">
        <v>4</v>
      </c>
      <c r="AA25" s="3">
        <v>3</v>
      </c>
      <c r="AB25" s="3">
        <v>3</v>
      </c>
      <c r="AC25" s="3">
        <v>4</v>
      </c>
      <c r="AD25" s="3">
        <v>2</v>
      </c>
      <c r="AE25" s="3">
        <v>3</v>
      </c>
      <c r="AF25" s="3">
        <v>3</v>
      </c>
      <c r="AG25" s="3">
        <v>3</v>
      </c>
      <c r="AH25" s="2">
        <f t="shared" si="2"/>
        <v>3.0833333333333335</v>
      </c>
      <c r="AI25" s="3">
        <v>2</v>
      </c>
      <c r="AJ25" s="3">
        <v>3</v>
      </c>
      <c r="AK25" s="3">
        <v>3</v>
      </c>
      <c r="AL25" s="3">
        <v>2</v>
      </c>
      <c r="AM25" s="3">
        <v>2</v>
      </c>
      <c r="AN25" s="3">
        <v>3</v>
      </c>
      <c r="AO25" s="2"/>
      <c r="AP25" s="3">
        <v>4</v>
      </c>
      <c r="AQ25" s="3">
        <v>2</v>
      </c>
      <c r="AR25" s="3">
        <v>3</v>
      </c>
      <c r="AS25" s="3">
        <v>3</v>
      </c>
      <c r="AT25" s="3">
        <v>3</v>
      </c>
      <c r="AU25" s="3">
        <f t="shared" si="3"/>
        <v>2.7272727272727271</v>
      </c>
      <c r="AV25" s="3">
        <v>2</v>
      </c>
    </row>
    <row r="26" spans="1:48" x14ac:dyDescent="0.2">
      <c r="A26" s="1">
        <v>33</v>
      </c>
      <c r="B26" s="4">
        <v>45952.374456018515</v>
      </c>
      <c r="C26" s="3">
        <v>1</v>
      </c>
      <c r="D26" s="3">
        <v>1</v>
      </c>
      <c r="E26" s="3">
        <v>1</v>
      </c>
      <c r="F26" s="3">
        <v>70</v>
      </c>
      <c r="G26" s="3">
        <v>100</v>
      </c>
      <c r="H26" s="3">
        <v>3.8</v>
      </c>
      <c r="I26" s="3">
        <v>3</v>
      </c>
      <c r="J26" s="3">
        <v>3</v>
      </c>
      <c r="K26" s="3">
        <v>3</v>
      </c>
      <c r="L26" s="3">
        <v>3</v>
      </c>
      <c r="M26" s="3">
        <v>3</v>
      </c>
      <c r="N26" s="2">
        <f t="shared" si="0"/>
        <v>3</v>
      </c>
      <c r="O26" s="3">
        <v>3</v>
      </c>
      <c r="P26" s="3">
        <v>3</v>
      </c>
      <c r="Q26" s="3">
        <v>3</v>
      </c>
      <c r="R26" s="3">
        <v>3</v>
      </c>
      <c r="S26" s="3">
        <v>3</v>
      </c>
      <c r="T26" s="3">
        <v>3</v>
      </c>
      <c r="U26" s="2">
        <f t="shared" si="1"/>
        <v>3</v>
      </c>
      <c r="V26" s="3">
        <v>3</v>
      </c>
      <c r="W26" s="3">
        <v>3</v>
      </c>
      <c r="X26" s="3">
        <v>3</v>
      </c>
      <c r="Y26" s="3">
        <v>4</v>
      </c>
      <c r="Z26" s="3">
        <v>2</v>
      </c>
      <c r="AA26" s="3">
        <v>3</v>
      </c>
      <c r="AB26" s="3">
        <v>4</v>
      </c>
      <c r="AC26" s="3">
        <v>2</v>
      </c>
      <c r="AD26" s="3">
        <v>3</v>
      </c>
      <c r="AE26" s="3">
        <v>2</v>
      </c>
      <c r="AF26" s="3">
        <v>3</v>
      </c>
      <c r="AG26" s="3">
        <v>3</v>
      </c>
      <c r="AH26" s="2">
        <f t="shared" si="2"/>
        <v>2.9166666666666665</v>
      </c>
      <c r="AI26" s="3">
        <v>3</v>
      </c>
      <c r="AJ26" s="3">
        <v>2</v>
      </c>
      <c r="AK26" s="3">
        <v>4</v>
      </c>
      <c r="AL26" s="3">
        <v>2</v>
      </c>
      <c r="AM26" s="3">
        <v>2</v>
      </c>
      <c r="AN26" s="3">
        <v>4</v>
      </c>
      <c r="AO26" s="3">
        <v>2</v>
      </c>
      <c r="AP26" s="3">
        <v>4</v>
      </c>
      <c r="AQ26" s="3">
        <v>2</v>
      </c>
      <c r="AR26" s="3">
        <v>3</v>
      </c>
      <c r="AS26" s="3">
        <v>2</v>
      </c>
      <c r="AT26" s="3">
        <v>4</v>
      </c>
      <c r="AU26" s="3">
        <f t="shared" si="3"/>
        <v>2.8333333333333335</v>
      </c>
      <c r="AV26" s="3">
        <v>2</v>
      </c>
    </row>
    <row r="27" spans="1:48" x14ac:dyDescent="0.2">
      <c r="A27" s="1">
        <v>34</v>
      </c>
      <c r="B27" s="3" t="s">
        <v>47</v>
      </c>
      <c r="C27" s="3">
        <v>1</v>
      </c>
      <c r="D27" s="3">
        <v>1</v>
      </c>
      <c r="E27" s="3">
        <v>0</v>
      </c>
      <c r="F27" s="3">
        <v>75</v>
      </c>
      <c r="G27" s="3">
        <v>68</v>
      </c>
      <c r="H27" s="3">
        <v>3.8</v>
      </c>
      <c r="I27" s="3">
        <v>4</v>
      </c>
      <c r="J27" s="3">
        <v>4</v>
      </c>
      <c r="K27" s="3">
        <v>4</v>
      </c>
      <c r="L27" s="3">
        <v>4</v>
      </c>
      <c r="M27" s="3">
        <v>3</v>
      </c>
      <c r="N27" s="2">
        <f t="shared" si="0"/>
        <v>3.8</v>
      </c>
      <c r="O27" s="3">
        <v>4</v>
      </c>
      <c r="P27" s="3">
        <v>2</v>
      </c>
      <c r="Q27" s="3">
        <v>3</v>
      </c>
      <c r="R27" s="3">
        <v>4</v>
      </c>
      <c r="S27" s="3">
        <v>3</v>
      </c>
      <c r="T27" s="3">
        <v>3</v>
      </c>
      <c r="U27" s="2">
        <f t="shared" si="1"/>
        <v>3.1666666666666665</v>
      </c>
      <c r="V27" s="3">
        <v>2</v>
      </c>
      <c r="W27" s="3">
        <v>3</v>
      </c>
      <c r="X27" s="3">
        <v>2</v>
      </c>
      <c r="Y27" s="3">
        <v>3</v>
      </c>
      <c r="Z27" s="3">
        <v>2</v>
      </c>
      <c r="AA27" s="3">
        <v>4</v>
      </c>
      <c r="AB27" s="3">
        <v>3</v>
      </c>
      <c r="AC27" s="3">
        <v>2</v>
      </c>
      <c r="AD27" s="3">
        <v>3</v>
      </c>
      <c r="AE27" s="3">
        <v>4</v>
      </c>
      <c r="AF27" s="3">
        <v>3</v>
      </c>
      <c r="AG27" s="3">
        <v>4</v>
      </c>
      <c r="AH27" s="2">
        <f t="shared" si="2"/>
        <v>2.9166666666666665</v>
      </c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3"/>
      <c r="AV27" s="3">
        <v>0</v>
      </c>
    </row>
    <row r="28" spans="1:48" x14ac:dyDescent="0.2">
      <c r="A28" s="1">
        <v>35</v>
      </c>
      <c r="B28" s="4">
        <v>45952.387986111113</v>
      </c>
      <c r="C28" s="3">
        <v>1</v>
      </c>
      <c r="D28" s="3">
        <v>1</v>
      </c>
      <c r="E28" s="3">
        <v>0</v>
      </c>
      <c r="F28" s="3">
        <v>74</v>
      </c>
      <c r="G28" s="3">
        <v>67</v>
      </c>
      <c r="H28" s="3">
        <v>3.8</v>
      </c>
      <c r="I28" s="3">
        <v>4</v>
      </c>
      <c r="J28" s="3">
        <v>4</v>
      </c>
      <c r="K28" s="3">
        <v>4</v>
      </c>
      <c r="L28" s="3">
        <v>4</v>
      </c>
      <c r="M28" s="3">
        <v>3</v>
      </c>
      <c r="N28" s="2">
        <f t="shared" si="0"/>
        <v>3.8</v>
      </c>
      <c r="O28" s="3">
        <v>4</v>
      </c>
      <c r="P28" s="3">
        <v>3</v>
      </c>
      <c r="Q28" s="3">
        <v>4</v>
      </c>
      <c r="R28" s="3">
        <v>4</v>
      </c>
      <c r="S28" s="3">
        <v>3</v>
      </c>
      <c r="T28" s="3">
        <v>3</v>
      </c>
      <c r="U28" s="2">
        <f t="shared" si="1"/>
        <v>3.5</v>
      </c>
      <c r="V28" s="3">
        <v>3</v>
      </c>
      <c r="W28" s="3">
        <v>2</v>
      </c>
      <c r="X28" s="3">
        <v>2</v>
      </c>
      <c r="Y28" s="3">
        <v>2</v>
      </c>
      <c r="Z28" s="3">
        <v>2</v>
      </c>
      <c r="AA28" s="3">
        <v>4</v>
      </c>
      <c r="AB28" s="3">
        <v>2</v>
      </c>
      <c r="AC28" s="3">
        <v>2</v>
      </c>
      <c r="AD28" s="3">
        <v>4</v>
      </c>
      <c r="AE28" s="3">
        <v>3</v>
      </c>
      <c r="AF28" s="3">
        <v>2</v>
      </c>
      <c r="AG28" s="3">
        <v>4</v>
      </c>
      <c r="AH28" s="2">
        <f t="shared" si="2"/>
        <v>2.6666666666666665</v>
      </c>
      <c r="AI28" s="3">
        <v>2</v>
      </c>
      <c r="AJ28" s="3">
        <v>3</v>
      </c>
      <c r="AK28" s="3">
        <v>2</v>
      </c>
      <c r="AL28" s="3">
        <v>3</v>
      </c>
      <c r="AM28" s="3">
        <v>2</v>
      </c>
      <c r="AN28" s="3">
        <v>4</v>
      </c>
      <c r="AO28" s="3">
        <v>3</v>
      </c>
      <c r="AP28" s="3">
        <v>3</v>
      </c>
      <c r="AQ28" s="3">
        <v>3</v>
      </c>
      <c r="AR28" s="3">
        <v>3</v>
      </c>
      <c r="AS28" s="3">
        <v>2</v>
      </c>
      <c r="AT28" s="3">
        <v>4</v>
      </c>
      <c r="AU28" s="3">
        <f t="shared" si="3"/>
        <v>2.8333333333333335</v>
      </c>
      <c r="AV28" s="3">
        <v>2</v>
      </c>
    </row>
    <row r="29" spans="1:48" x14ac:dyDescent="0.2">
      <c r="A29" s="1">
        <v>37</v>
      </c>
      <c r="B29" s="4">
        <v>45952.424409722225</v>
      </c>
      <c r="C29" s="3">
        <v>1</v>
      </c>
      <c r="D29" s="3">
        <v>1</v>
      </c>
      <c r="E29" s="3">
        <v>1</v>
      </c>
      <c r="F29" s="3">
        <v>41</v>
      </c>
      <c r="G29" s="3">
        <v>85</v>
      </c>
      <c r="H29" s="3">
        <v>3.1</v>
      </c>
      <c r="I29" s="3">
        <v>3</v>
      </c>
      <c r="J29" s="3">
        <v>3</v>
      </c>
      <c r="K29" s="3">
        <v>2</v>
      </c>
      <c r="L29" s="3">
        <v>5</v>
      </c>
      <c r="M29" s="3">
        <v>1</v>
      </c>
      <c r="N29" s="2">
        <f t="shared" si="0"/>
        <v>2.8</v>
      </c>
      <c r="O29" s="3">
        <v>5</v>
      </c>
      <c r="P29" s="3">
        <v>5</v>
      </c>
      <c r="Q29" s="3">
        <v>5</v>
      </c>
      <c r="R29" s="3">
        <v>5</v>
      </c>
      <c r="S29" s="3">
        <v>5</v>
      </c>
      <c r="T29" s="3">
        <v>4</v>
      </c>
      <c r="U29" s="2">
        <f t="shared" si="1"/>
        <v>4.833333333333333</v>
      </c>
      <c r="V29" s="3">
        <v>3</v>
      </c>
      <c r="W29" s="3">
        <v>1</v>
      </c>
      <c r="X29" s="3">
        <v>3</v>
      </c>
      <c r="Y29" s="3">
        <v>3</v>
      </c>
      <c r="Z29" s="3">
        <v>1</v>
      </c>
      <c r="AA29" s="3">
        <v>5</v>
      </c>
      <c r="AB29" s="3">
        <v>2</v>
      </c>
      <c r="AC29" s="3">
        <v>1</v>
      </c>
      <c r="AD29" s="3">
        <v>5</v>
      </c>
      <c r="AE29" s="3">
        <v>5</v>
      </c>
      <c r="AF29" s="3">
        <v>2</v>
      </c>
      <c r="AG29" s="3">
        <v>3</v>
      </c>
      <c r="AH29" s="2">
        <f t="shared" si="2"/>
        <v>2.8333333333333335</v>
      </c>
      <c r="AI29" s="3">
        <v>3</v>
      </c>
      <c r="AJ29" s="3">
        <v>4</v>
      </c>
      <c r="AK29" s="3">
        <v>4</v>
      </c>
      <c r="AL29" s="3">
        <v>4</v>
      </c>
      <c r="AM29" s="3">
        <v>4</v>
      </c>
      <c r="AN29" s="3">
        <v>1</v>
      </c>
      <c r="AO29" s="3">
        <v>4</v>
      </c>
      <c r="AP29" s="3">
        <v>4</v>
      </c>
      <c r="AQ29" s="3">
        <v>2</v>
      </c>
      <c r="AR29" s="3">
        <v>2</v>
      </c>
      <c r="AS29" s="3">
        <v>2</v>
      </c>
      <c r="AT29" s="3">
        <v>3</v>
      </c>
      <c r="AU29" s="3">
        <f t="shared" si="3"/>
        <v>3.0833333333333335</v>
      </c>
      <c r="AV29" s="3">
        <v>2</v>
      </c>
    </row>
    <row r="30" spans="1:48" x14ac:dyDescent="0.2">
      <c r="A30" s="1">
        <v>38</v>
      </c>
      <c r="B30" s="4">
        <v>45952.415625000001</v>
      </c>
      <c r="C30" s="3">
        <v>1</v>
      </c>
      <c r="D30" s="3">
        <v>1</v>
      </c>
      <c r="E30" s="3">
        <v>0</v>
      </c>
      <c r="F30" s="3">
        <v>100</v>
      </c>
      <c r="G30" s="3">
        <v>100</v>
      </c>
      <c r="H30" s="3">
        <v>3.5</v>
      </c>
      <c r="I30" s="3">
        <v>1</v>
      </c>
      <c r="J30" s="3">
        <v>1</v>
      </c>
      <c r="K30" s="3">
        <v>2</v>
      </c>
      <c r="L30" s="3">
        <v>1</v>
      </c>
      <c r="M30" s="3">
        <v>2</v>
      </c>
      <c r="N30" s="2">
        <f t="shared" si="0"/>
        <v>1.4</v>
      </c>
      <c r="O30" s="3">
        <v>1</v>
      </c>
      <c r="P30" s="3">
        <v>1</v>
      </c>
      <c r="Q30" s="3">
        <v>1</v>
      </c>
      <c r="R30" s="3">
        <v>1</v>
      </c>
      <c r="S30" s="3">
        <v>1</v>
      </c>
      <c r="T30" s="3">
        <v>2</v>
      </c>
      <c r="U30" s="2">
        <f t="shared" si="1"/>
        <v>1.1666666666666667</v>
      </c>
      <c r="V30" s="3">
        <v>1</v>
      </c>
      <c r="W30" s="3">
        <v>4</v>
      </c>
      <c r="X30" s="3">
        <v>3</v>
      </c>
      <c r="Y30" s="3">
        <v>2</v>
      </c>
      <c r="Z30" s="3">
        <v>4</v>
      </c>
      <c r="AA30" s="3">
        <v>2</v>
      </c>
      <c r="AB30" s="3">
        <v>5</v>
      </c>
      <c r="AC30" s="3">
        <v>4</v>
      </c>
      <c r="AD30" s="3">
        <v>2</v>
      </c>
      <c r="AE30" s="3">
        <v>1</v>
      </c>
      <c r="AF30" s="3">
        <v>2</v>
      </c>
      <c r="AG30" s="3">
        <v>1</v>
      </c>
      <c r="AH30" s="2">
        <f t="shared" si="2"/>
        <v>2.5833333333333335</v>
      </c>
      <c r="AI30" s="3">
        <v>1</v>
      </c>
      <c r="AJ30" s="3">
        <v>1</v>
      </c>
      <c r="AK30" s="3">
        <v>3</v>
      </c>
      <c r="AL30" s="3">
        <v>4</v>
      </c>
      <c r="AM30" s="3">
        <v>3</v>
      </c>
      <c r="AN30" s="3">
        <v>1</v>
      </c>
      <c r="AO30" s="3">
        <v>5</v>
      </c>
      <c r="AP30" s="3">
        <v>4</v>
      </c>
      <c r="AQ30" s="3">
        <v>1</v>
      </c>
      <c r="AR30" s="3">
        <v>1</v>
      </c>
      <c r="AS30" s="3">
        <v>2</v>
      </c>
      <c r="AT30" s="3">
        <v>1</v>
      </c>
      <c r="AU30" s="3">
        <f t="shared" si="3"/>
        <v>2.25</v>
      </c>
      <c r="AV30" s="3">
        <v>2</v>
      </c>
    </row>
    <row r="32" spans="1:48" x14ac:dyDescent="0.2">
      <c r="F32">
        <f>AVERAGE(F2,F3,F4,F5,F6,F7,F8,F9,F10,F11,F12,F13,F14,F15,F16,F17,F18,F19,F20,F21,F22,F23,F24,F25,F27,F26,F28,F29,F30,)</f>
        <v>80.466666666666669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Aslan, Sirac Y</dc:creator>
  <cp:lastModifiedBy>Aslan, Sirac Y</cp:lastModifiedBy>
  <dcterms:created xsi:type="dcterms:W3CDTF">2025-10-22T16:52:16Z</dcterms:created>
  <dcterms:modified xsi:type="dcterms:W3CDTF">2025-10-27T18:22:47Z</dcterms:modified>
</cp:coreProperties>
</file>